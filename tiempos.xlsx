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dia\Downloads\"/>
    </mc:Choice>
  </mc:AlternateContent>
  <xr:revisionPtr revIDLastSave="0" documentId="8_{C6B2283E-581F-44A4-A142-C4CF2A6E00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GAR_1N" sheetId="2" r:id="rId1"/>
    <sheet name="GRAFICA_POR_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E7" i="4"/>
  <c r="D7" i="4"/>
  <c r="C7" i="4"/>
  <c r="B7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F3" i="4"/>
  <c r="E3" i="4"/>
  <c r="D3" i="4"/>
  <c r="C3" i="4"/>
  <c r="B3" i="4"/>
</calcChain>
</file>

<file path=xl/sharedStrings.xml><?xml version="1.0" encoding="utf-8"?>
<sst xmlns="http://schemas.openxmlformats.org/spreadsheetml/2006/main" count="13" uniqueCount="13">
  <si>
    <t>Algoritmo</t>
  </si>
  <si>
    <t>Tiempo_ms</t>
  </si>
  <si>
    <t>Burbujam</t>
  </si>
  <si>
    <t>MergeSort</t>
  </si>
  <si>
    <t>QuickSort</t>
  </si>
  <si>
    <t>RadixSort</t>
  </si>
  <si>
    <t>GnomeSort</t>
  </si>
  <si>
    <t>n</t>
  </si>
  <si>
    <t>Burbujam_ms</t>
  </si>
  <si>
    <t>MergeSort_ms</t>
  </si>
  <si>
    <t>QuickSort_ms</t>
  </si>
  <si>
    <t>RadixSort_ms</t>
  </si>
  <si>
    <t>GnomeSort_ms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</si>
</sst>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Tiempos por algoritmo (un solo n)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PEGAR_1N!$B$1</c:f>
              <c:strCache>
                <c:ptCount val="1"/>
                <c:pt idx="0">
                  <c:v>Tiempo_ms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PEGAR_1N!$A$2:$A$6</c:f>
              <c:strCache>
                <c:ptCount val="5"/>
                <c:pt idx="0">
                  <c:v>Burbujam</c:v>
                </c:pt>
                <c:pt idx="1">
                  <c:v>MergeSort</c:v>
                </c:pt>
                <c:pt idx="2">
                  <c:v>QuickSort</c:v>
                </c:pt>
                <c:pt idx="3">
                  <c:v>RadixSort</c:v>
                </c:pt>
                <c:pt idx="4">
                  <c:v>GnomeSort</c:v>
                </c:pt>
              </c:strCache>
            </c:strRef>
          </c:cat>
          <c:val>
            <c:numRef>
              <c:f>PEGAR_1N!$B$2:$B$6</c:f>
              <c:numCache>
                <c:formatCode>0.000</c:formatCode>
                <c:ptCount val="5"/>
                <c:pt idx="0">
                  <c:v>3.8980000000000001</c:v>
                </c:pt>
                <c:pt idx="1">
                  <c:v>1.879</c:v>
                </c:pt>
                <c:pt idx="2">
                  <c:v>2.0139999999999998</c:v>
                </c:pt>
                <c:pt idx="3">
                  <c:v>4.3609999999999998</c:v>
                </c:pt>
                <c:pt idx="4">
                  <c:v>4.7880000000000003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9-4126-9EC2-E5FF3189E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Algoritmo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ms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Tiempos vs n (promedio por n)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GRAFICA_POR_N!$B$1</c:f>
              <c:strCache>
                <c:ptCount val="1"/>
                <c:pt idx="0">
                  <c:v>Burbujam_ms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GRAFICA_POR_N!$A$2:$A$7</c:f>
              <c:numCache>
                <c:formatCode>0.000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numCache>
            </c:numRef>
          </c:cat>
          <c:val>
            <c:numRef>
              <c:f>GRAFICA_POR_N!$B$2:$B$7</c:f>
              <c:numCache>
                <c:formatCode>0.000</c:formatCode>
                <c:ptCount val="6"/>
                <c:pt idx="0">
                  <c:v>98.72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31-4252-AADC-EC62566757F6}"/>
            </c:ext>
          </c:extLst>
        </c:ser>
        <c:ser>
          <c:idx val="1"/>
          <c:order val="1"/>
          <c:tx>
            <c:strRef>
              <c:f>GRAFICA_POR_N!$C$1</c:f>
              <c:strCache>
                <c:ptCount val="1"/>
                <c:pt idx="0">
                  <c:v>MergeSort_ms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GRAFICA_POR_N!$A$2:$A$7</c:f>
              <c:numCache>
                <c:formatCode>0.000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numCache>
            </c:numRef>
          </c:cat>
          <c:val>
            <c:numRef>
              <c:f>GRAFICA_POR_N!$C$2:$C$7</c:f>
              <c:numCache>
                <c:formatCode>0.000</c:formatCode>
                <c:ptCount val="6"/>
                <c:pt idx="0">
                  <c:v>4.3109999999999999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31-4252-AADC-EC62566757F6}"/>
            </c:ext>
          </c:extLst>
        </c:ser>
        <c:ser>
          <c:idx val="2"/>
          <c:order val="2"/>
          <c:tx>
            <c:strRef>
              <c:f>GRAFICA_POR_N!$D$1</c:f>
              <c:strCache>
                <c:ptCount val="1"/>
                <c:pt idx="0">
                  <c:v>QuickSort_ms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GRAFICA_POR_N!$A$2:$A$7</c:f>
              <c:numCache>
                <c:formatCode>0.000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numCache>
            </c:numRef>
          </c:cat>
          <c:val>
            <c:numRef>
              <c:f>GRAFICA_POR_N!$D$2:$D$7</c:f>
              <c:numCache>
                <c:formatCode>0.000</c:formatCode>
                <c:ptCount val="6"/>
                <c:pt idx="0">
                  <c:v>6.61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031-4252-AADC-EC62566757F6}"/>
            </c:ext>
          </c:extLst>
        </c:ser>
        <c:ser>
          <c:idx val="3"/>
          <c:order val="3"/>
          <c:tx>
            <c:strRef>
              <c:f>GRAFICA_POR_N!$E$1</c:f>
              <c:strCache>
                <c:ptCount val="1"/>
                <c:pt idx="0">
                  <c:v>RadixSort_ms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GRAFICA_POR_N!$A$2:$A$7</c:f>
              <c:numCache>
                <c:formatCode>0.000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numCache>
            </c:numRef>
          </c:cat>
          <c:val>
            <c:numRef>
              <c:f>GRAFICA_POR_N!$E$2:$E$7</c:f>
              <c:numCache>
                <c:formatCode>0.000</c:formatCode>
                <c:ptCount val="6"/>
                <c:pt idx="0">
                  <c:v>5.431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031-4252-AADC-EC62566757F6}"/>
            </c:ext>
          </c:extLst>
        </c:ser>
        <c:ser>
          <c:idx val="4"/>
          <c:order val="4"/>
          <c:tx>
            <c:strRef>
              <c:f>GRAFICA_POR_N!$F$1</c:f>
              <c:strCache>
                <c:ptCount val="1"/>
                <c:pt idx="0">
                  <c:v>GnomeSort_ms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GRAFICA_POR_N!$A$2:$A$7</c:f>
              <c:numCache>
                <c:formatCode>0.000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</c:numCache>
            </c:numRef>
          </c:cat>
          <c:val>
            <c:numRef>
              <c:f>GRAFICA_POR_N!$F$2:$F$7</c:f>
              <c:numCache>
                <c:formatCode>0.000</c:formatCode>
                <c:ptCount val="6"/>
                <c:pt idx="0">
                  <c:v>55.305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031-4252-AADC-EC6256675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ms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activeCell="B21" sqref="B21"/>
    </sheetView>
  </sheetViews>
  <sheetFormatPr baseColWidth="10" defaultColWidth="9.140625" defaultRowHeight="15" x14ac:dyDescent="0.25"/>
  <cols>
    <col min="1" max="1" width="18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3.8980000000000001</v>
      </c>
    </row>
    <row r="3" spans="1:2" x14ac:dyDescent="0.25">
      <c r="A3" s="2" t="s">
        <v>3</v>
      </c>
      <c r="B3" s="3">
        <v>1.879</v>
      </c>
    </row>
    <row r="4" spans="1:2" x14ac:dyDescent="0.25">
      <c r="A4" s="2" t="s">
        <v>4</v>
      </c>
      <c r="B4" s="3">
        <v>2.0139999999999998</v>
      </c>
    </row>
    <row r="5" spans="1:2" x14ac:dyDescent="0.25">
      <c r="A5" s="2" t="s">
        <v>5</v>
      </c>
      <c r="B5" s="3">
        <v>4.3609999999999998</v>
      </c>
    </row>
    <row r="6" spans="1:2" x14ac:dyDescent="0.25">
      <c r="A6" s="2" t="s">
        <v>6</v>
      </c>
      <c r="B6" s="3">
        <v>4.7880000000000003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pane ySplit="1" topLeftCell="A2" activePane="bottomLeft" state="frozen"/>
      <selection pane="bottomLeft" activeCell="O18" sqref="O18"/>
    </sheetView>
  </sheetViews>
  <sheetFormatPr baseColWidth="10" defaultColWidth="9.140625" defaultRowHeight="15" x14ac:dyDescent="0.25"/>
  <cols>
    <col min="1" max="1" width="10" customWidth="1"/>
    <col min="2" max="6" width="16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 s="3">
        <v>10</v>
      </c>
      <c r="B2" s="3">
        <v>98.72</v>
      </c>
      <c r="C2" s="3">
        <v>4.3109999999999999</v>
      </c>
      <c r="D2" s="3">
        <v>6.61</v>
      </c>
      <c r="E2" s="3">
        <v>5.431</v>
      </c>
      <c r="F2" s="3">
        <v>55.305</v>
      </c>
    </row>
    <row r="3" spans="1:6" x14ac:dyDescent="0.25">
      <c r="A3" s="3">
        <v>100</v>
      </c>
      <c r="B3" s="3" t="str">
        <f>IFERROR(AVERAGEIFS(#REF!,#REF!, $A3,#REF!, "Burbujam"), "")</f>
        <v/>
      </c>
      <c r="C3" s="3" t="str">
        <f>IFERROR(AVERAGEIFS(#REF!,#REF!, $A3,#REF!, "MergeSort"), "")</f>
        <v/>
      </c>
      <c r="D3" s="3" t="str">
        <f>IFERROR(AVERAGEIFS(#REF!,#REF!, $A3,#REF!, "QuickSort"), "")</f>
        <v/>
      </c>
      <c r="E3" s="3" t="str">
        <f>IFERROR(AVERAGEIFS(#REF!,#REF!, $A3,#REF!, "RadixSort"), "")</f>
        <v/>
      </c>
      <c r="F3" s="3" t="str">
        <f>IFERROR(AVERAGEIFS(#REF!,#REF!, $A3,#REF!, "GnomeSort"), "")</f>
        <v/>
      </c>
    </row>
    <row r="4" spans="1:6" x14ac:dyDescent="0.25">
      <c r="A4" s="3">
        <v>500</v>
      </c>
      <c r="B4" s="3" t="str">
        <f>IFERROR(AVERAGEIFS(#REF!,#REF!, $A4,#REF!, "Burbujam"), "")</f>
        <v/>
      </c>
      <c r="C4" s="3" t="str">
        <f>IFERROR(AVERAGEIFS(#REF!,#REF!, $A4,#REF!, "MergeSort"), "")</f>
        <v/>
      </c>
      <c r="D4" s="3" t="str">
        <f>IFERROR(AVERAGEIFS(#REF!,#REF!, $A4,#REF!, "QuickSort"), "")</f>
        <v/>
      </c>
      <c r="E4" s="3" t="str">
        <f>IFERROR(AVERAGEIFS(#REF!,#REF!, $A4,#REF!, "RadixSort"), "")</f>
        <v/>
      </c>
      <c r="F4" s="3" t="str">
        <f>IFERROR(AVERAGEIFS(#REF!,#REF!, $A4,#REF!, "GnomeSort"), "")</f>
        <v/>
      </c>
    </row>
    <row r="5" spans="1:6" x14ac:dyDescent="0.25">
      <c r="A5" s="3">
        <v>1000</v>
      </c>
      <c r="B5" s="3" t="str">
        <f>IFERROR(AVERAGEIFS(#REF!,#REF!, $A5,#REF!, "Burbujam"), "")</f>
        <v/>
      </c>
      <c r="C5" s="3" t="str">
        <f>IFERROR(AVERAGEIFS(#REF!,#REF!, $A5,#REF!, "MergeSort"), "")</f>
        <v/>
      </c>
      <c r="D5" s="3" t="str">
        <f>IFERROR(AVERAGEIFS(#REF!,#REF!, $A5,#REF!, "QuickSort"), "")</f>
        <v/>
      </c>
      <c r="E5" s="3" t="str">
        <f>IFERROR(AVERAGEIFS(#REF!,#REF!, $A5,#REF!, "RadixSort"), "")</f>
        <v/>
      </c>
      <c r="F5" s="3" t="str">
        <f>IFERROR(AVERAGEIFS(#REF!,#REF!, $A5,#REF!, "GnomeSort"), "")</f>
        <v/>
      </c>
    </row>
    <row r="6" spans="1:6" x14ac:dyDescent="0.25">
      <c r="A6" s="3">
        <v>2000</v>
      </c>
      <c r="B6" s="3" t="str">
        <f>IFERROR(AVERAGEIFS(#REF!,#REF!, $A6,#REF!, "Burbujam"), "")</f>
        <v/>
      </c>
      <c r="C6" s="3" t="str">
        <f>IFERROR(AVERAGEIFS(#REF!,#REF!, $A6,#REF!, "MergeSort"), "")</f>
        <v/>
      </c>
      <c r="D6" s="3" t="str">
        <f>IFERROR(AVERAGEIFS(#REF!,#REF!, $A6,#REF!, "QuickSort"), "")</f>
        <v/>
      </c>
      <c r="E6" s="3" t="str">
        <f>IFERROR(AVERAGEIFS(#REF!,#REF!, $A6,#REF!, "RadixSort"), "")</f>
        <v/>
      </c>
      <c r="F6" s="3" t="str">
        <f>IFERROR(AVERAGEIFS(#REF!,#REF!, $A6,#REF!, "GnomeSort"), "")</f>
        <v/>
      </c>
    </row>
    <row r="7" spans="1:6" x14ac:dyDescent="0.25">
      <c r="A7" s="3">
        <v>5000</v>
      </c>
      <c r="B7" s="3" t="str">
        <f>IFERROR(AVERAGEIFS(#REF!,#REF!, $A7,#REF!, "Burbujam"), "")</f>
        <v/>
      </c>
      <c r="C7" s="3" t="str">
        <f>IFERROR(AVERAGEIFS(#REF!,#REF!, $A7,#REF!, "MergeSort"), "")</f>
        <v/>
      </c>
      <c r="D7" s="3" t="str">
        <f>IFERROR(AVERAGEIFS(#REF!,#REF!, $A7,#REF!, "QuickSort"), "")</f>
        <v/>
      </c>
      <c r="E7" s="3" t="str">
        <f>IFERROR(AVERAGEIFS(#REF!,#REF!, $A7,#REF!, "RadixSort"), "")</f>
        <v/>
      </c>
      <c r="F7" s="3" t="str">
        <f>IFERROR(AVERAGEIFS(#REF!,#REF!, $A7,#REF!, "GnomeSort"), "")</f>
        <v/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PEGAR_1N</vt:lpstr>
      <vt:lpstr>GRAFICA_POR_N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Alfonso Díaz Muralles</cp:lastModifiedBy>
  <dcterms:created xsi:type="dcterms:W3CDTF">2026-02-10T01:07:37Z</dcterms:created>
  <dcterms:modified xsi:type="dcterms:W3CDTF">2026-02-10T01:12:56Z</dcterms:modified>
</cp:coreProperties>
</file>